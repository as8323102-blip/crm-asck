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494d68e85f4c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7bcf15ecb094ed4"/>
    <x:sheet xmlns:r="http://schemas.openxmlformats.org/officeDocument/2006/relationships" name="CRM_Cargar" sheetId="2" r:id="R4b8e8fce3ef34fab"/>
    <x:sheet xmlns:r="http://schemas.openxmlformats.org/officeDocument/2006/relationships" name="Descartados_No_Cargar" sheetId="3" r:id="R1cd38000750d48c6"/>
    <x:sheet xmlns:r="http://schemas.openxmlformats.org/officeDocument/2006/relationships" name="Criterios_ASCK" sheetId="4" r:id="Rc79515eb5bf54c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8"/>
      <x:color rgb="FF0B1F3A"/>
      <x:name val="Carlito"/>
    </x:font>
    <x:font>
      <x:i/>
      <x:sz val="11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3B75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FFFFFF"/>
      </x:patternFill>
    </x:fill>
  </x:fills>
  <x:borders count="8">
    <x:border/>
    <x:border/>
    <x:border>
      <x:bottom/>
    </x:border>
    <x:border>
      <x:top/>
      <x:bottom/>
    </x:border>
    <x:border>
      <x:top/>
    </x:border>
    <x:border>
      <x:bottom/>
    </x:border>
    <x:border>
      <x:top/>
      <x:bottom/>
    </x:border>
    <x:border>
      <x:top/>
    </x:border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20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20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200" fontId="0" fillId="5" borderId="4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E40AF"/>
      </x:font>
      <x:fill>
        <x:patternFill patternType="solid">
          <x:bgColor rgb="FFDBEAFE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4744ff04741c0" /><Relationship Type="http://schemas.openxmlformats.org/officeDocument/2006/relationships/theme" Target="/xl/theme/theme1.xml" Id="Ra3c8d4c2c5754d1b" /><Relationship Type="http://schemas.openxmlformats.org/officeDocument/2006/relationships/sharedStrings" Target="/xl/sharedStrings.xml" Id="R1b98bbb1528b4095" /><Relationship Type="http://schemas.openxmlformats.org/officeDocument/2006/relationships/worksheet" Target="/xl/worksheets/sheet1.xml" Id="Rc7bcf15ecb094ed4" /><Relationship Type="http://schemas.openxmlformats.org/officeDocument/2006/relationships/worksheet" Target="/xl/worksheets/sheet2.xml" Id="R4b8e8fce3ef34fab" /><Relationship Type="http://schemas.openxmlformats.org/officeDocument/2006/relationships/worksheet" Target="/xl/worksheets/sheet3.xml" Id="R1cd38000750d48c6" /><Relationship Type="http://schemas.openxmlformats.org/officeDocument/2006/relationships/worksheet" Target="/xl/worksheets/sheet4.xml" Id="Rc79515eb5bf54c40" /></Relationships>
</file>

<file path=xl/tables/table1.xml><?xml version="1.0" encoding="utf-8"?>
<x:table xmlns:x="http://schemas.openxmlformats.org/spreadsheetml/2006/main" id="1" name="CRMProspectosTable" displayName="CRMProspectosTable" ref="A1:W12" headerRowCount="1">
  <x:tableColumns count="23">
    <x:tableColumn id="1" name="ID"/>
    <x:tableColumn id="2" name="Negocio"/>
    <x:tableColumn id="3" name="Giro"/>
    <x:tableColumn id="4" name="Zona / Dirección para Google Maps"/>
    <x:tableColumn id="5" name="Redes / fuentes a revisar"/>
    <x:tableColumn id="6" name="Clasificación ASCK"/>
    <x:tableColumn id="7" name="Estado CRM"/>
    <x:tableColumn id="8" name="Prioridad"/>
    <x:tableColumn id="9" name="Ticket estimado"/>
    <x:tableColumn id="10" name="Flujo/Zona"/>
    <x:tableColumn id="11" name="Dolor real que resolvemos"/>
    <x:tableColumn id="12" name="Oferta sugerida"/>
    <x:tableColumn id="13" name="Paquete objetivo"/>
    <x:tableColumn id="14" name="Precio mín MXN"/>
    <x:tableColumn id="15" name="Precio máx MXN"/>
    <x:tableColumn id="16" name="Precio medio MXN"/>
    <x:tableColumn id="17" name="Mantenimiento sugerido"/>
    <x:tableColumn id="18" name="Siguiente acción manual"/>
    <x:tableColumn id="19" name="Responsable sugerido"/>
    <x:tableColumn id="20" name="Motivo de decisión"/>
    <x:tableColumn id="21" name="Condición de entrada / descarte"/>
    <x:tableColumn id="22" name="Notas CRM"/>
    <x:tableColumn id="23" name="Links / fuentes"/>
  </x:tableColumns>
  <x:tableStyleInfo name="TableStyleMedium2" showRowStripes="1"/>
</x:table>
</file>

<file path=xl/tables/table2.xml><?xml version="1.0" encoding="utf-8"?>
<x:table xmlns:x="http://schemas.openxmlformats.org/spreadsheetml/2006/main" id="2" name="DescartadosTable" displayName="DescartadosTable" ref="A1:I5" headerRowCount="1">
  <x:tableColumns count="9">
    <x:tableColumn id="1" name="ID"/>
    <x:tableColumn id="2" name="Negocio"/>
    <x:tableColumn id="3" name="Giro"/>
    <x:tableColumn id="4" name="Estado"/>
    <x:tableColumn id="5" name="Motivo de descarte"/>
    <x:tableColumn id="6" name="Excepción para reconsiderar"/>
    <x:tableColumn id="7" name="Qué revisar si alguien insiste"/>
    <x:tableColumn id="8" name="Prioridad futura"/>
    <x:tableColumn id="9" name="Not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f35109f9f41498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7b1451395a4da2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4" max="4" width="8" hidden="0" customWidth="1"/>
    <x:col min="5" max="5" width="28" hidden="0" customWidth="1"/>
    <x:col min="6" max="6" width="20" hidden="0" customWidth="1"/>
    <x:col min="7" max="7" width="16" hidden="0" customWidth="1"/>
    <x:col min="8" max="8" width="44" hidden="0" customWidth="1"/>
    <x:col min="9" max="9" width="18" hidden="0" customWidth="1"/>
  </x:cols>
  <x:sheetData>
    <x:row r="1">
      <x:c r="A1" s="16" t="str">
        <x:v>ASCK · Prospectos CRM Limpio</x:v>
      </x:c>
    </x:row>
    <x:row r="2">
      <x:c r="A2" s="18" t="str">
        <x:v>Actualizado: 2026-07-03 01:24</x:v>
      </x:c>
    </x:row>
    <x:row r="5">
      <x:c r="A5" s="32" t="str">
        <x:v>Métrica</x:v>
      </x:c>
      <x:c r="B5" s="32" t="str">
        <x:v>Valor</x:v>
      </x:c>
      <x:c r="D5" s="32" t="str">
        <x:v>Orden</x:v>
      </x:c>
      <x:c r="E5" s="32" t="str">
        <x:v>Prospecto</x:v>
      </x:c>
      <x:c r="F5" s="32" t="str">
        <x:v>Estado</x:v>
      </x:c>
      <x:c r="G5" s="32" t="str">
        <x:v>Prioridad</x:v>
      </x:c>
      <x:c r="H5" s="32" t="str">
        <x:v>Acción inmediata</x:v>
      </x:c>
      <x:c r="I5" s="32" t="str">
        <x:v>Precio objetivo medio</x:v>
      </x:c>
    </x:row>
    <x:row r="6">
      <x:c r="A6" s="33" t="str">
        <x:v>Prospectos en CRM_Cargar</x:v>
      </x:c>
      <x:c r="B6" s="33" t="n">
        <x:f>COUNTA(CRM_Cargar!B2:B12)</x:f>
        <x:v>11</x:v>
      </x:c>
      <x:c r="D6" s="40" t="n">
        <x:v>1</x:v>
      </x:c>
      <x:c r="E6" s="40" t="str">
        <x:v>Clínica Dental Advance</x:v>
      </x:c>
      <x:c r="F6" s="40" t="str">
        <x:v>Cargar ahora</x:v>
      </x:c>
      <x:c r="G6" s="40" t="str">
        <x:v>Alta</x:v>
      </x:c>
      <x:c r="H6" s="40" t="str">
        <x:v>Revisar Maps/redes y preparar preset demo Dental Core</x:v>
      </x:c>
      <x:c r="I6" s="41" t="n">
        <x:f>CRM_Cargar!P2</x:f>
        <x:v>23250</x:v>
      </x:c>
    </x:row>
    <x:row r="7">
      <x:c r="A7" s="33" t="str">
        <x:v>Cargar ahora</x:v>
      </x:c>
      <x:c r="B7" s="33" t="n">
        <x:f>COUNTIF(CRM_Cargar!G2:G12,"Cargar ahora")</x:f>
        <x:v>5</x:v>
      </x:c>
      <x:c r="D7" s="40" t="n">
        <x:v>2</x:v>
      </x:c>
      <x:c r="E7" s="40" t="str">
        <x:v>Leal Dental / Dra. Leticia</x:v>
      </x:c>
      <x:c r="F7" s="40" t="str">
        <x:v>Cargar ahora</x:v>
      </x:c>
      <x:c r="G7" s="40" t="str">
        <x:v>Alta</x:v>
      </x:c>
      <x:c r="H7" s="40" t="str">
        <x:v>Validar ubicación/contacto y demo de reputación premium</x:v>
      </x:c>
      <x:c r="I7" s="41" t="n">
        <x:f>CRM_Cargar!P3</x:f>
        <x:v>20500</x:v>
      </x:c>
    </x:row>
    <x:row r="8">
      <x:c r="A8" s="33" t="str">
        <x:v>En observación / validar</x:v>
      </x:c>
      <x:c r="B8" s="33" t="n">
        <x:f>COUNTIF(CRM_Cargar!G2:G12,"En observación")+COUNTIF(CRM_Cargar!G2:G12,"Validar antes de cargar")</x:f>
        <x:v>6</x:v>
      </x:c>
      <x:c r="D8" s="40" t="n">
        <x:v>3</x:v>
      </x:c>
      <x:c r="E8" s="40" t="str">
        <x:v>Dr. Enrique Caxnajoy</x:v>
      </x:c>
      <x:c r="F8" s="40" t="str">
        <x:v>Cargar ahora</x:v>
      </x:c>
      <x:c r="G8" s="40" t="str">
        <x:v>Alta</x:v>
      </x:c>
      <x:c r="H8" s="40" t="str">
        <x:v>Validar WhatsApp/servicios y demo marca personal</x:v>
      </x:c>
      <x:c r="I8" s="41" t="n">
        <x:f>CRM_Cargar!P4</x:f>
        <x:v>17000</x:v>
      </x:c>
    </x:row>
    <x:row r="9">
      <x:c r="A9" s="33" t="str">
        <x:v>Prioridad alta</x:v>
      </x:c>
      <x:c r="B9" s="33" t="n">
        <x:f>COUNTIF(CRM_Cargar!H2:H12,"Alta")</x:f>
        <x:v>4</x:v>
      </x:c>
      <x:c r="D9" s="40" t="n">
        <x:v>4</x:v>
      </x:c>
      <x:c r="E9" s="40" t="str">
        <x:v>Taller Mecánico Automotriz García</x:v>
      </x:c>
      <x:c r="F9" s="40" t="str">
        <x:v>Cargar ahora</x:v>
      </x:c>
      <x:c r="G9" s="40" t="str">
        <x:v>Alta</x:v>
      </x:c>
      <x:c r="H9" s="40" t="str">
        <x:v>Buscar ficha exacta y validar flujo/ticket</x:v>
      </x:c>
      <x:c r="I9" s="41" t="n">
        <x:f>CRM_Cargar!P5</x:f>
        <x:v>16000</x:v>
      </x:c>
    </x:row>
    <x:row r="10">
      <x:c r="A10" s="33" t="str">
        <x:v>Descartados no cargar</x:v>
      </x:c>
      <x:c r="B10" s="34" t="n">
        <x:f>COUNTA(Descartados_No_Cargar!B2:B5)</x:f>
        <x:v>4</x:v>
      </x:c>
      <x:c r="D10" s="42" t="n">
        <x:v>5</x:v>
      </x:c>
      <x:c r="E10" s="42" t="str">
        <x:v>La Tradición</x:v>
      </x:c>
      <x:c r="F10" s="42" t="str">
        <x:v>Cargar ahora</x:v>
      </x:c>
      <x:c r="G10" s="42" t="str">
        <x:v>Media-Alta</x:v>
      </x:c>
      <x:c r="H10" s="42" t="str">
        <x:v>Validar menú/WhatsApp y terminar demo QR</x:v>
      </x:c>
      <x:c r="I10" s="43" t="n">
        <x:f>CRM_Cargar!P6</x:f>
        <x:v>10500</x:v>
      </x:c>
    </x:row>
    <x:row r="11">
      <x:c r="A11" s="35" t="str">
        <x:v>Potencial medio total</x:v>
      </x:c>
      <x:c r="B11" s="35" t="n">
        <x:f>SUM(CRM_Cargar!P2:P12)</x:f>
        <x:v>157250</x:v>
      </x:c>
    </x:row>
  </x:sheetData>
  <x:mergeCells>
    <x:mergeCell ref="A1:I1"/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22" hidden="0" customWidth="1"/>
    <x:col min="4" max="4" width="42" hidden="0" customWidth="1"/>
    <x:col min="5" max="5" width="32" hidden="0" customWidth="1"/>
    <x:col min="6" max="6" width="20" hidden="0" customWidth="1"/>
    <x:col min="7" max="7" width="22" hidden="0" customWidth="1"/>
    <x:col min="8" max="8" width="14" hidden="0" customWidth="1"/>
    <x:col min="9" max="9" width="16" hidden="0" customWidth="1"/>
    <x:col min="10" max="10" width="16" hidden="0" customWidth="1"/>
    <x:col min="11" max="11" width="34" hidden="0" customWidth="1"/>
    <x:col min="12" max="12" width="40" hidden="0" customWidth="1"/>
    <x:col min="13" max="13" width="26" hidden="0" customWidth="1"/>
    <x:col min="14" max="14" width="14" hidden="0" customWidth="1"/>
    <x:col min="15" max="15" width="14" hidden="0" customWidth="1"/>
    <x:col min="16" max="16" width="14" hidden="0" customWidth="1"/>
    <x:col min="17" max="17" width="18" hidden="0" customWidth="1"/>
    <x:col min="18" max="18" width="42" hidden="0" customWidth="1"/>
    <x:col min="19" max="19" width="18" hidden="0" customWidth="1"/>
    <x:col min="20" max="20" width="40" hidden="0" customWidth="1"/>
    <x:col min="21" max="21" width="38" hidden="0" customWidth="1"/>
    <x:col min="22" max="22" width="38" hidden="0" customWidth="1"/>
    <x:col min="23" max="23" width="46" hidden="0" customWidth="1"/>
  </x:cols>
  <x:sheetData>
    <x:row r="1" ht="42" customHeight="1">
      <x:c r="A1" s="10" t="str">
        <x:v>ID</x:v>
      </x:c>
      <x:c r="B1" s="10" t="str">
        <x:v>Negocio</x:v>
      </x:c>
      <x:c r="C1" s="10" t="str">
        <x:v>Giro</x:v>
      </x:c>
      <x:c r="D1" s="10" t="str">
        <x:v>Zona / Dirección para Google Maps</x:v>
      </x:c>
      <x:c r="E1" s="10" t="str">
        <x:v>Redes / fuentes a revisar</x:v>
      </x:c>
      <x:c r="F1" s="10" t="str">
        <x:v>Clasificación ASCK</x:v>
      </x:c>
      <x:c r="G1" s="10" t="str">
        <x:v>Estado CRM</x:v>
      </x:c>
      <x:c r="H1" s="10" t="str">
        <x:v>Prioridad</x:v>
      </x:c>
      <x:c r="I1" s="10" t="str">
        <x:v>Ticket estimado</x:v>
      </x:c>
      <x:c r="J1" s="10" t="str">
        <x:v>Flujo/Zona</x:v>
      </x:c>
      <x:c r="K1" s="10" t="str">
        <x:v>Dolor real que resolvemos</x:v>
      </x:c>
      <x:c r="L1" s="10" t="str">
        <x:v>Oferta sugerida</x:v>
      </x:c>
      <x:c r="M1" s="10" t="str">
        <x:v>Paquete objetivo</x:v>
      </x:c>
      <x:c r="N1" s="10" t="str">
        <x:v>Precio mín MXN</x:v>
      </x:c>
      <x:c r="O1" s="10" t="str">
        <x:v>Precio máx MXN</x:v>
      </x:c>
      <x:c r="P1" s="10" t="str">
        <x:v>Precio medio MXN</x:v>
      </x:c>
      <x:c r="Q1" s="10" t="str">
        <x:v>Mantenimiento sugerido</x:v>
      </x:c>
      <x:c r="R1" s="10" t="str">
        <x:v>Siguiente acción manual</x:v>
      </x:c>
      <x:c r="S1" s="10" t="str">
        <x:v>Responsable sugerido</x:v>
      </x:c>
      <x:c r="T1" s="10" t="str">
        <x:v>Motivo de decisión</x:v>
      </x:c>
      <x:c r="U1" s="10" t="str">
        <x:v>Condición de entrada / descarte</x:v>
      </x:c>
      <x:c r="V1" s="10" t="str">
        <x:v>Notas CRM</x:v>
      </x:c>
      <x:c r="W1" s="10" t="str">
        <x:v>Links / fuentes</x:v>
      </x:c>
    </x:row>
    <x:row r="2" ht="42" customHeight="1">
      <x:c r="A2" s="11" t="str">
        <x:v>P-001</x:v>
      </x:c>
      <x:c r="B2" s="11" t="str">
        <x:v>Clínica Dental Advance</x:v>
      </x:c>
      <x:c r="C2" s="11" t="str">
        <x:v>Dental / Clínica</x:v>
      </x:c>
      <x:c r="D2" s="11" t="str">
        <x:v>José María Morelos 1, Segundo Piso, San Melchor, 52760 Huixquilucan de Degollado, Méx.</x:v>
      </x:c>
      <x:c r="E2" s="11" t="str">
        <x:v>Instagram, Facebook, Doctoralia, BuscoDentista, Google Maps</x:v>
      </x:c>
      <x:c r="F2" s="11" t="str">
        <x:v>Calificado</x:v>
      </x:c>
      <x:c r="G2" s="11" t="str">
        <x:v>Cargar ahora</x:v>
      </x:c>
      <x:c r="H2" s="11" t="str">
        <x:v>Alta</x:v>
      </x:c>
      <x:c r="I2" s="11" t="str">
        <x:v>Alto</x:v>
      </x:c>
      <x:c r="J2" s="11" t="str">
        <x:v>Media-Alta</x:v>
      </x:c>
      <x:c r="K2" s="11" t="str">
        <x:v>Confianza, captación de pacientes, agenda y seguimiento</x:v>
      </x:c>
      <x:c r="L2" s="11" t="str">
        <x:v>Landing dental + formulario de valoración + WhatsApp dinámico + pipeline + agenda</x:v>
      </x:c>
      <x:c r="M2" s="11" t="str">
        <x:v>Dental Clínica Pro</x:v>
      </x:c>
      <x:c r="N2" s="20" t="n">
        <x:v>18500</x:v>
      </x:c>
      <x:c r="O2" s="20" t="n">
        <x:v>28000</x:v>
      </x:c>
      <x:c r="P2" s="20" t="n">
        <x:f>IF(AND(N2&gt;0,O2&gt;0),AVERAGE(N2,O2),"")</x:f>
        <x:v>23250</x:v>
      </x:c>
      <x:c r="Q2" s="11" t="str">
        <x:v>$2,000–$3,000/mes</x:v>
      </x:c>
      <x:c r="R2" s="11" t="str">
        <x:v>Revisar Maps/fachada/redes y validar WhatsApp; preparar demo con Clínica Dental Advance como preset</x:v>
      </x:c>
      <x:c r="S2" s="11" t="str">
        <x:v>Kevin / Sebas</x:v>
      </x:c>
      <x:c r="T2" s="11" t="str">
        <x:v>Clínica con ticket alto y capacidad de pago; el sistema sí resuelve captación y recepción</x:v>
      </x:c>
      <x:c r="U2" s="11" t="str">
        <x:v>Entra si sigue activa y no tiene sistema propio equivalente</x:v>
      </x:c>
      <x:c r="V2" s="11" t="str">
        <x:v>Prioridad comercial #1; no vender expediente clínico todavía</x:v>
      </x:c>
      <x:c r="W2" s="11" t="str">
        <x:v>https://www.instagram.com/dentaladvancemx/
https://www.facebook.com/DentalAdvanceMX/
https://www.doctoralia.com.mx/clinicas/clinica-dental-advanced
https://buscodentista.com.mx/estado-de-mexico/huixquilucan/clinica-dental-advance/</x:v>
      </x:c>
    </x:row>
    <x:row r="3" ht="42" customHeight="1">
      <x:c r="A3" s="11" t="str">
        <x:v>P-002</x:v>
      </x:c>
      <x:c r="B3" s="11" t="str">
        <x:v>Leal Dental / Dra. Leticia Campa</x:v>
      </x:c>
      <x:c r="C3" s="11" t="str">
        <x:v>Dental / Clínica-reputación</x:v>
      </x:c>
      <x:c r="D3" s="11" t="str">
        <x:v>Av. Palo Solo Manzana 018, Federal Burocrática, 52777 Huixquilucan, Méx. · por validar</x:v>
      </x:c>
      <x:c r="E3" s="11" t="str">
        <x:v>Instagram, BuscoDentista, Google Maps</x:v>
      </x:c>
      <x:c r="F3" s="11" t="str">
        <x:v>Calificado</x:v>
      </x:c>
      <x:c r="G3" s="11" t="str">
        <x:v>Cargar ahora</x:v>
      </x:c>
      <x:c r="H3" s="11" t="str">
        <x:v>Alta</x:v>
      </x:c>
      <x:c r="I3" s="11" t="str">
        <x:v>Alto</x:v>
      </x:c>
      <x:c r="J3" s="11" t="str">
        <x:v>Media</x:v>
      </x:c>
      <x:c r="K3" s="11" t="str">
        <x:v>Reputación, tratamientos de alto valor, valoración y seguimiento</x:v>
      </x:c>
      <x:c r="L3" s="11" t="str">
        <x:v>Landing premium + reputación + valoración + WhatsApp + CRM ligero</x:v>
      </x:c>
      <x:c r="M3" s="11" t="str">
        <x:v>Dental Captación + Agenda</x:v>
      </x:c>
      <x:c r="N3" s="20" t="n">
        <x:v>16500</x:v>
      </x:c>
      <x:c r="O3" s="20" t="n">
        <x:v>24500</x:v>
      </x:c>
      <x:c r="P3" s="20" t="n">
        <x:f>IF(AND(N3&gt;0,O3&gt;0),AVERAGE(N3,O3),"")</x:f>
        <x:v>20500</x:v>
      </x:c>
      <x:c r="Q3" s="11" t="str">
        <x:v>$1,500–$2,500/mes</x:v>
      </x:c>
      <x:c r="R3" s="11" t="str">
        <x:v>Revisar zona Palo Solo, fachada, flujo y actividad de Instagram; validar teléfono</x:v>
      </x:c>
      <x:c r="S3" s="11" t="str">
        <x:v>Kevin / Sebas</x:v>
      </x:c>
      <x:c r="T3" s="11" t="str">
        <x:v>Dental con reputación y tratamientos de ticket alto; puede recuperar inversión con pocos pacientes</x:v>
      </x:c>
      <x:c r="U3" s="11" t="str">
        <x:v>Entra si dirección y contacto están activos</x:v>
      </x:c>
      <x:c r="V3" s="11" t="str">
        <x:v>Usar enfoque cálido premium, confianza y tratamientos de sonrisa</x:v>
      </x:c>
      <x:c r="W3" s="11" t="str">
        <x:v>https://www.instagram.com/lealdentalletycampa/
https://buscodentista.com.mx/estado-de-mexico/huixquilucan/leal-dental-dra-leticia-campa-mendoza/</x:v>
      </x:c>
    </x:row>
    <x:row r="4" ht="42" customHeight="1">
      <x:c r="A4" s="11" t="str">
        <x:v>P-003</x:v>
      </x:c>
      <x:c r="B4" s="11" t="str">
        <x:v>Dr. Enrique Caxnajoy</x:v>
      </x:c>
      <x:c r="C4" s="11" t="str">
        <x:v>Dental / Doctor individual</x:v>
      </x:c>
      <x:c r="D4" s="11" t="str">
        <x:v>José María Morelos #26, San Juan Bautista, 52760 Huixquilucan de Degollado, Méx. · por validar</x:v>
      </x:c>
      <x:c r="E4" s="11" t="str">
        <x:v>Instagram, Facebook, Doctoralia, BuscoDentista, Google Maps</x:v>
      </x:c>
      <x:c r="F4" s="11" t="str">
        <x:v>Calificado</x:v>
      </x:c>
      <x:c r="G4" s="11" t="str">
        <x:v>Cargar ahora</x:v>
      </x:c>
      <x:c r="H4" s="11" t="str">
        <x:v>Alta</x:v>
      </x:c>
      <x:c r="I4" s="11" t="str">
        <x:v>Alto</x:v>
      </x:c>
      <x:c r="J4" s="11" t="str">
        <x:v>Media-Alta</x:v>
      </x:c>
      <x:c r="K4" s="11" t="str">
        <x:v>Marca personal, confianza, explicación de servicios y citas</x:v>
      </x:c>
      <x:c r="L4" s="11" t="str">
        <x:v>Marca personal dental + landing + valoración + WhatsApp + seguimiento</x:v>
      </x:c>
      <x:c r="M4" s="11" t="str">
        <x:v>Dental Captación + Agenda</x:v>
      </x:c>
      <x:c r="N4" s="20" t="n">
        <x:v>14500</x:v>
      </x:c>
      <x:c r="O4" s="20" t="n">
        <x:v>19500</x:v>
      </x:c>
      <x:c r="P4" s="20" t="n">
        <x:f>IF(AND(N4&gt;0,O4&gt;0),AVERAGE(N4,O4),"")</x:f>
        <x:v>17000</x:v>
      </x:c>
      <x:c r="Q4" s="11" t="str">
        <x:v>$1,500/mes</x:v>
      </x:c>
      <x:c r="R4" s="11" t="str">
        <x:v>Revisar Maps/fachada/consultorio, validar WhatsApp y servicios más rentables</x:v>
      </x:c>
      <x:c r="S4" s="11" t="str">
        <x:v>Kevin / Sebas</x:v>
      </x:c>
      <x:c r="T4" s="11" t="str">
        <x:v>Doctor individual con ticket alto; la demo puede convertir dudas en valoración</x:v>
      </x:c>
      <x:c r="U4" s="11" t="str">
        <x:v>Entra si no tiene web propia fuerte y mantiene actividad en redes</x:v>
      </x:c>
      <x:c r="V4" s="11" t="str">
        <x:v>Buen candidato para preset de doctor individual en Dental Core</x:v>
      </x:c>
      <x:c r="W4" s="11" t="str">
        <x:v>https://www.instagram.com/cd.enriquecaxnajoyt/
https://www.facebook.com/EnriqueCirujanoDentista/
https://www.doctoralia.com.mx/enrique-caxnajoy/dentista-odontologo/huixquilucan
https://buscodentista.com.mx/estado-de-mexico/huixquilucan/cirujano-dentista-dr-enrique-caxnajoy/</x:v>
      </x:c>
    </x:row>
    <x:row r="5" ht="42" customHeight="1">
      <x:c r="A5" s="11" t="str">
        <x:v>P-004</x:v>
      </x:c>
      <x:c r="B5" s="11" t="str">
        <x:v>Taller Mecánico Automotriz García</x:v>
      </x:c>
      <x:c r="C5" s="11" t="str">
        <x:v>Taller mecánico / Servicio técnico</x:v>
      </x:c>
      <x:c r="D5" s="11" t="str">
        <x:v>Dirección por buscar en Google Maps</x:v>
      </x:c>
      <x:c r="E5" s="11" t="str">
        <x:v>Google Maps, Facebook, WhatsApp, fotos de fachada, reseñas</x:v>
      </x:c>
      <x:c r="F5" s="11" t="str">
        <x:v>Calificado condicional</x:v>
      </x:c>
      <x:c r="G5" s="11" t="str">
        <x:v>Cargar ahora</x:v>
      </x:c>
      <x:c r="H5" s="11" t="str">
        <x:v>Alta</x:v>
      </x:c>
      <x:c r="I5" s="11" t="str">
        <x:v>Medio-Alto</x:v>
      </x:c>
      <x:c r="J5" s="11" t="str">
        <x:v>Por validar</x:v>
      </x:c>
      <x:c r="K5" s="11" t="str">
        <x:v>Cotizaciones desordenadas, diagnóstico, fotos de falla, solicitudes por WhatsApp</x:v>
      </x:c>
      <x:c r="L5" s="11" t="str">
        <x:v>Formulario de diagnóstico + cotizador por WhatsApp + servicios + ubicación + seguimiento</x:v>
      </x:c>
      <x:c r="M5" s="11" t="str">
        <x:v>Cotizador + WhatsApp</x:v>
      </x:c>
      <x:c r="N5" s="20" t="n">
        <x:v>12500</x:v>
      </x:c>
      <x:c r="O5" s="20" t="n">
        <x:v>19500</x:v>
      </x:c>
      <x:c r="P5" s="20" t="n">
        <x:f>IF(AND(N5&gt;0,O5&gt;0),AVERAGE(N5,O5),"")</x:f>
        <x:v>16000</x:v>
      </x:c>
      <x:c r="Q5" s="11" t="str">
        <x:v>$1,500–$2,000/mes</x:v>
      </x:c>
      <x:c r="R5" s="11" t="str">
        <x:v>Buscar ficha exacta en Maps, revisar reseñas, flujo de autos, zona e instalaciones</x:v>
      </x:c>
      <x:c r="S5" s="11" t="str">
        <x:v>Sebas / Kevin</x:v>
      </x:c>
      <x:c r="T5" s="11" t="str">
        <x:v>Giro con dolor operativo real y ticket potencialmente alto; mejor que barbería/costuras</x:v>
      </x:c>
      <x:c r="U5" s="11" t="str">
        <x:v>Entra si tiene flujo de autos, ticket medio-alto y contacto activo</x:v>
      </x:c>
      <x:c r="V5" s="11" t="str">
        <x:v>Vender utilidad: recepción de fallas y cotización, no página bonita</x:v>
      </x:c>
      <x:c r="W5" s="11" t="str"/>
    </x:row>
    <x:row r="6" ht="42" customHeight="1">
      <x:c r="A6" s="11" t="str">
        <x:v>P-005</x:v>
      </x:c>
      <x:c r="B6" s="11" t="str">
        <x:v>La Tradición</x:v>
      </x:c>
      <x:c r="C6" s="11" t="str">
        <x:v>Panadería / Cafetería</x:v>
      </x:c>
      <x:c r="D6" s="11" t="str">
        <x:v>Lic. Primo de Verdad 21, San Martín, 52760 Huixquilucan de Degollado, Méx.</x:v>
      </x:c>
      <x:c r="E6" s="11" t="str">
        <x:v>Google Maps, Instagram @panalatradicion, Facebook</x:v>
      </x:c>
      <x:c r="F6" s="11" t="str">
        <x:v>Calificado condicional</x:v>
      </x:c>
      <x:c r="G6" s="11" t="str">
        <x:v>Cargar ahora</x:v>
      </x:c>
      <x:c r="H6" s="11" t="str">
        <x:v>Media-Alta</x:v>
      </x:c>
      <x:c r="I6" s="11" t="str">
        <x:v>Medio</x:v>
      </x:c>
      <x:c r="J6" s="11" t="str">
        <x:v>Media-Alta</x:v>
      </x:c>
      <x:c r="K6" s="11" t="str">
        <x:v>Menú visible, pedidos por WhatsApp, productos del día, QR en local</x:v>
      </x:c>
      <x:c r="L6" s="11" t="str">
        <x:v>Menú digital QR + productos + promociones + WhatsApp + ubicación</x:v>
      </x:c>
      <x:c r="M6" s="11" t="str">
        <x:v>Menú QR + WhatsApp</x:v>
      </x:c>
      <x:c r="N6" s="20" t="n">
        <x:v>8500</x:v>
      </x:c>
      <x:c r="O6" s="20" t="n">
        <x:v>12500</x:v>
      </x:c>
      <x:c r="P6" s="20" t="n">
        <x:f>IF(AND(N6&gt;0,O6&gt;0),AVERAGE(N6,O6),"")</x:f>
        <x:v>10500</x:v>
      </x:c>
      <x:c r="Q6" s="11" t="str">
        <x:v>$1,000–$1,500/mes</x:v>
      </x:c>
      <x:c r="R6" s="11" t="str">
        <x:v>Validar teléfono, productos más vendidos, si reciben pedidos y fotos reales</x:v>
      </x:c>
      <x:c r="S6" s="11" t="str">
        <x:v>Centeno / Kevin</x:v>
      </x:c>
      <x:c r="T6" s="11" t="str">
        <x:v>Funciona si se vende como menú QR útil dentro del local, no como web genérica</x:v>
      </x:c>
      <x:c r="U6" s="11" t="str">
        <x:v>Entra si hay flujo local y aceptan QR/menu digital</x:v>
      </x:c>
      <x:c r="V6" s="11" t="str">
        <x:v>Demo Antigravity en curso; enfoque antojo + QR + WhatsApp</x:v>
      </x:c>
      <x:c r="W6" s="11" t="str">
        <x:v>https://www.instagram.com/panalatradicion/
https://www.facebook.com/panalatradicion/</x:v>
      </x:c>
    </x:row>
    <x:row r="7" ht="42" customHeight="1">
      <x:c r="A7" s="11" t="str">
        <x:v>P-006</x:v>
      </x:c>
      <x:c r="B7" s="11" t="str">
        <x:v>Skin Store</x:v>
      </x:c>
      <x:c r="C7" s="11" t="str">
        <x:v>Tienda de skincare / cosmética</x:v>
      </x:c>
      <x:c r="D7" s="11" t="str">
        <x:v>Dirección por validar</x:v>
      </x:c>
      <x:c r="E7" s="11" t="str">
        <x:v>Instagram, Facebook, Google Maps, catálogo actual si existe</x:v>
      </x:c>
      <x:c r="F7" s="11" t="str">
        <x:v>Condicional</x:v>
      </x:c>
      <x:c r="G7" s="11" t="str">
        <x:v>Validar antes de cargar</x:v>
      </x:c>
      <x:c r="H7" s="11" t="str">
        <x:v>Media-Alta</x:v>
      </x:c>
      <x:c r="I7" s="11" t="str">
        <x:v>Medio</x:v>
      </x:c>
      <x:c r="J7" s="11" t="str">
        <x:v>Por validar</x:v>
      </x:c>
      <x:c r="K7" s="11" t="str">
        <x:v>Catálogo, existencias, combos, pedidos por WhatsApp, preguntas frecuentes</x:v>
      </x:c>
      <x:c r="L7" s="11" t="str">
        <x:v>Catálogo visual + pedidos por WhatsApp + promociones + filtros por necesidad</x:v>
      </x:c>
      <x:c r="M7" s="11" t="str">
        <x:v>Catálogo + WhatsApp</x:v>
      </x:c>
      <x:c r="N7" s="20" t="n">
        <x:v>8500</x:v>
      </x:c>
      <x:c r="O7" s="20" t="n">
        <x:v>14500</x:v>
      </x:c>
      <x:c r="P7" s="20" t="n">
        <x:f>IF(AND(N7&gt;0,O7&gt;0),AVERAGE(N7,O7),"")</x:f>
        <x:v>11500</x:v>
      </x:c>
      <x:c r="Q7" s="11" t="str">
        <x:v>$1,000–$1,500/mes</x:v>
      </x:c>
      <x:c r="R7" s="11" t="str">
        <x:v>Buscar redes, revisar catálogo real, nivel de inventario y frecuencia de publicaciones</x:v>
      </x:c>
      <x:c r="S7" s="11" t="str">
        <x:v>Sebas / Centeno</x:v>
      </x:c>
      <x:c r="T7" s="11" t="str">
        <x:v>Puede servir si vende varios productos y tiene flujo/pedidos; si es pequeño se pausa</x:v>
      </x:c>
      <x:c r="U7" s="11" t="str">
        <x:v>Entra solo si hay inventario, flujo y clientes preguntando por productos</x:v>
      </x:c>
      <x:c r="V7" s="11" t="str">
        <x:v>No hacer e-commerce; vender catálogo y WhatsApp</x:v>
      </x:c>
      <x:c r="W7" s="11" t="str"/>
    </x:row>
    <x:row r="8" ht="42" customHeight="1">
      <x:c r="A8" s="11" t="str">
        <x:v>P-007</x:v>
      </x:c>
      <x:c r="B8" s="11" t="str">
        <x:v>Servicio Palo Solo</x:v>
      </x:c>
      <x:c r="C8" s="11" t="str">
        <x:v>Servicio local / Giro por validar</x:v>
      </x:c>
      <x:c r="D8" s="11" t="str">
        <x:v>Palo Solo, Huixquilucan · dirección exacta por validar</x:v>
      </x:c>
      <x:c r="E8" s="11" t="str">
        <x:v>Google Maps, Facebook, reseñas, fotos de fachada</x:v>
      </x:c>
      <x:c r="F8" s="11" t="str">
        <x:v>Condicional</x:v>
      </x:c>
      <x:c r="G8" s="11" t="str">
        <x:v>Validar antes de cargar</x:v>
      </x:c>
      <x:c r="H8" s="11" t="str">
        <x:v>Media</x:v>
      </x:c>
      <x:c r="I8" s="11" t="str">
        <x:v>Por validar</x:v>
      </x:c>
      <x:c r="J8" s="11" t="str">
        <x:v>Por validar</x:v>
      </x:c>
      <x:c r="K8" s="11" t="str">
        <x:v>Depende del giro: cotización, servicio técnico, solicitudes, ubicación</x:v>
      </x:c>
      <x:c r="L8" s="11" t="str">
        <x:v>Por definir según giro: captación + WhatsApp + cotización</x:v>
      </x:c>
      <x:c r="M8" s="11" t="str">
        <x:v>Por definir</x:v>
      </x:c>
      <x:c r="N8" s="20" t="n">
        <x:v>8500</x:v>
      </x:c>
      <x:c r="O8" s="20" t="n">
        <x:v>16500</x:v>
      </x:c>
      <x:c r="P8" s="20" t="n">
        <x:f>IF(AND(N8&gt;0,O8&gt;0),AVERAGE(N8,O8),"")</x:f>
        <x:v>12500</x:v>
      </x:c>
      <x:c r="Q8" s="11" t="str">
        <x:v>Por definir</x:v>
      </x:c>
      <x:c r="R8" s="11" t="str">
        <x:v>Confirmar qué servicio es, ticket promedio, zona y flujo de clientes</x:v>
      </x:c>
      <x:c r="S8" s="11" t="str">
        <x:v>Sebas</x:v>
      </x:c>
      <x:c r="T8" s="11" t="str">
        <x:v>No se puede calificar sin giro exacto; mantener solo si resuelve cotizaciones/servicios</x:v>
      </x:c>
      <x:c r="U8" s="11" t="str">
        <x:v>Entra si es servicio con ticket medio/alto y solicitudes recurrentes</x:v>
      </x:c>
      <x:c r="V8" s="11" t="str">
        <x:v>No invertir demo hasta saber giro exacto</x:v>
      </x:c>
      <x:c r="W8" s="11" t="str"/>
    </x:row>
    <x:row r="9" ht="42" customHeight="1">
      <x:c r="A9" s="11" t="str">
        <x:v>P-008</x:v>
      </x:c>
      <x:c r="B9" s="11" t="str">
        <x:v>K Centro Estético Integral &amp; Spa</x:v>
      </x:c>
      <x:c r="C9" s="11" t="str">
        <x:v>Centro estético / Spa</x:v>
      </x:c>
      <x:c r="D9" s="11" t="str">
        <x:v>Acueducto Lerma 2-mz 002, MZ 002, 52793 San Bartolomé Coatepec, Méx.</x:v>
      </x:c>
      <x:c r="E9" s="11" t="str">
        <x:v>Google Maps, Facebook, Instagram @k_centroesteticoyspa, Cybo</x:v>
      </x:c>
      <x:c r="F9" s="11" t="str">
        <x:v>Condicional</x:v>
      </x:c>
      <x:c r="G9" s="11" t="str">
        <x:v>En observación</x:v>
      </x:c>
      <x:c r="H9" s="11" t="str">
        <x:v>Media</x:v>
      </x:c>
      <x:c r="I9" s="11" t="str">
        <x:v>Medio-Alto si tratamientos caros</x:v>
      </x:c>
      <x:c r="J9" s="11" t="str">
        <x:v>Media</x:v>
      </x:c>
      <x:c r="K9" s="11" t="str">
        <x:v>Servicios múltiples, agenda, promociones, confianza, tratamientos</x:v>
      </x:c>
      <x:c r="L9" s="11" t="str">
        <x:v>Landing spa + catálogo de tratamientos + agenda WhatsApp + promociones</x:v>
      </x:c>
      <x:c r="M9" s="11" t="str">
        <x:v>Dental/Estética Captación + Agenda</x:v>
      </x:c>
      <x:c r="N9" s="20" t="n">
        <x:v>8500</x:v>
      </x:c>
      <x:c r="O9" s="20" t="n">
        <x:v>16500</x:v>
      </x:c>
      <x:c r="P9" s="20" t="n">
        <x:f>IF(AND(N9&gt;0,O9&gt;0),AVERAGE(N9,O9),"")</x:f>
        <x:v>12500</x:v>
      </x:c>
      <x:c r="Q9" s="11" t="str">
        <x:v>$1,000–$2,000/mes</x:v>
      </x:c>
      <x:c r="R9" s="11" t="str">
        <x:v>Validar si maneja tratamientos caros, flujo de citas, WhatsApp activo y redes</x:v>
      </x:c>
      <x:c r="S9" s="11" t="str">
        <x:v>Kevin / Sebas</x:v>
      </x:c>
      <x:c r="T9" s="11" t="str">
        <x:v>Solo vale si hay servicios de ticket alto o muchos tratamientos; si solo estética básica se pausa</x:v>
      </x:c>
      <x:c r="U9" s="11" t="str">
        <x:v>Entra si tratamientos caros/muchos servicios/flujo alto; si no, no priorizar</x:v>
      </x:c>
      <x:c r="V9" s="11" t="str">
        <x:v>No meter al flujo principal hasta validar capacidad de pago</x:v>
      </x:c>
      <x:c r="W9" s="11" t="str">
        <x:v>https://www.instagram.com/k_centroesteticoyspa/
https://www.facebook.com/kcentroestetico/</x:v>
      </x:c>
    </x:row>
    <x:row r="10" ht="42" customHeight="1">
      <x:c r="A10" s="11" t="str">
        <x:v>P-009</x:v>
      </x:c>
      <x:c r="B10" s="11" t="str">
        <x:v>Hub Gaming / posible HuixquiGames</x:v>
      </x:c>
      <x:c r="C10" s="11" t="str">
        <x:v>Gaming hub / entretenimiento</x:v>
      </x:c>
      <x:c r="D10" s="11" t="str">
        <x:v>Huixquilucan Centro · local por validar</x:v>
      </x:c>
      <x:c r="E10" s="11" t="str">
        <x:v>Google Maps, Facebook, Instagram, TikTok, comunidad/eventos</x:v>
      </x:c>
      <x:c r="F10" s="11" t="str">
        <x:v>Condicional</x:v>
      </x:c>
      <x:c r="G10" s="11" t="str">
        <x:v>En observación</x:v>
      </x:c>
      <x:c r="H10" s="11" t="str">
        <x:v>Media</x:v>
      </x:c>
      <x:c r="I10" s="11" t="str">
        <x:v>Medio</x:v>
      </x:c>
      <x:c r="J10" s="11" t="str">
        <x:v>Por validar</x:v>
      </x:c>
      <x:c r="K10" s="11" t="str">
        <x:v>Reservas, torneos, membresías, calendario, comunidad</x:v>
      </x:c>
      <x:c r="L10" s="11" t="str">
        <x:v>Landing + reservas + torneos + membresías + WhatsApp</x:v>
      </x:c>
      <x:c r="M10" s="11" t="str">
        <x:v>Sistema de Reservas Ligero</x:v>
      </x:c>
      <x:c r="N10" s="20" t="n">
        <x:v>8500</x:v>
      </x:c>
      <x:c r="O10" s="20" t="n">
        <x:v>16500</x:v>
      </x:c>
      <x:c r="P10" s="20" t="n">
        <x:f>IF(AND(N10&gt;0,O10&gt;0),AVERAGE(N10,O10),"")</x:f>
        <x:v>12500</x:v>
      </x:c>
      <x:c r="Q10" s="11" t="str">
        <x:v>$1,000–$2,000/mes</x:v>
      </x:c>
      <x:c r="R10" s="11" t="str">
        <x:v>Validar nombre exacto, máquinas, torneos, membresías, flujo de jóvenes y ubicación</x:v>
      </x:c>
      <x:c r="S10" s="11" t="str">
        <x:v>Alberto / Sebas</x:v>
      </x:c>
      <x:c r="T10" s="11" t="str">
        <x:v>Puede servir si hay comunidad/eventos; si solo renta pequeña, no priorizar</x:v>
      </x:c>
      <x:c r="U10" s="11" t="str">
        <x:v>Entra si tiene torneos, reservas o membresías con flujo real</x:v>
      </x:c>
      <x:c r="V10" s="11" t="str">
        <x:v>No crear demo hasta validar nombre exacto y actividad</x:v>
      </x:c>
      <x:c r="W10" s="11" t="str"/>
    </x:row>
    <x:row r="11" ht="42" customHeight="1">
      <x:c r="A11" s="11" t="str">
        <x:v>P-010</x:v>
      </x:c>
      <x:c r="B11" s="11" t="str">
        <x:v>Studio By Diane</x:v>
      </x:c>
      <x:c r="C11" s="11" t="str">
        <x:v>Estudio de belleza / uñas</x:v>
      </x:c>
      <x:c r="D11" s="11" t="str">
        <x:v>Huixquilucan, Estado de México · ubicación exacta por confirmar</x:v>
      </x:c>
      <x:c r="E11" s="11" t="str">
        <x:v>Redes por validar, demo Antigravity lista</x:v>
      </x:c>
      <x:c r="F11" s="11" t="str">
        <x:v>Portafolio / Condicional</x:v>
      </x:c>
      <x:c r="G11" s="11" t="str">
        <x:v>En observación</x:v>
      </x:c>
      <x:c r="H11" s="11" t="str">
        <x:v>Media</x:v>
      </x:c>
      <x:c r="I11" s="11" t="str">
        <x:v>Medio si premium</x:v>
      </x:c>
      <x:c r="J11" s="11" t="str">
        <x:v>Por validar</x:v>
      </x:c>
      <x:c r="K11" s="11" t="str">
        <x:v>Agenda, presentación premium, servicios, WhatsApp, galería</x:v>
      </x:c>
      <x:c r="L11" s="11" t="str">
        <x:v>Landing premium + agenda WhatsApp + catálogo de servicios</x:v>
      </x:c>
      <x:c r="M11" s="11" t="str">
        <x:v>Captación + Agenda</x:v>
      </x:c>
      <x:c r="N11" s="20" t="n">
        <x:v>8500</x:v>
      </x:c>
      <x:c r="O11" s="20" t="n">
        <x:v>14500</x:v>
      </x:c>
      <x:c r="P11" s="20" t="n">
        <x:f>IF(AND(N11&gt;0,O11&gt;0),AVERAGE(N11,O11),"")</x:f>
        <x:v>11500</x:v>
      </x:c>
      <x:c r="Q11" s="11" t="str">
        <x:v>$1,000–$1,500/mes</x:v>
      </x:c>
      <x:c r="R11" s="11" t="str">
        <x:v>Validar contacto, capacidad de pago, flujo, ticket de servicios y fotos reales</x:v>
      </x:c>
      <x:c r="S11" s="11" t="str">
        <x:v>Kevin / Sebas</x:v>
      </x:c>
      <x:c r="T11" s="11" t="str">
        <x:v>Sirve como demo de portafolio; no priorizar si el flujo/ticket no justifica</x:v>
      </x:c>
      <x:c r="U11" s="11" t="str">
        <x:v>Entra si servicio premium, agenda activa y ticket suficiente</x:v>
      </x:c>
      <x:c r="V11" s="11" t="str">
        <x:v>Demo Antigravity es fuerte, pero validar negocio antes de insistir</x:v>
      </x:c>
      <x:c r="W11" s="11" t="str"/>
    </x:row>
    <x:row r="12" ht="42" customHeight="1">
      <x:c r="A12" s="11" t="str">
        <x:v>P-011</x:v>
      </x:c>
      <x:c r="B12" s="11" t="str">
        <x:v>Estética Antony</x:v>
      </x:c>
      <x:c r="C12" s="11" t="str">
        <x:v>Estética / belleza</x:v>
      </x:c>
      <x:c r="D12" s="11" t="str">
        <x:v>Dirección por validar</x:v>
      </x:c>
      <x:c r="E12" s="11" t="str">
        <x:v>Google Maps, Facebook, Instagram, WhatsApp</x:v>
      </x:c>
      <x:c r="F12" s="11" t="str">
        <x:v>Condicional débil</x:v>
      </x:c>
      <x:c r="G12" s="11" t="str">
        <x:v>En observación</x:v>
      </x:c>
      <x:c r="H12" s="11" t="str">
        <x:v>Baja-Media</x:v>
      </x:c>
      <x:c r="I12" s="11" t="str">
        <x:v>Bajo-Medio</x:v>
      </x:c>
      <x:c r="J12" s="11" t="str">
        <x:v>Por validar</x:v>
      </x:c>
      <x:c r="K12" s="11" t="str">
        <x:v>Agenda y servicios solo si tiene flujo o tratamientos caros</x:v>
      </x:c>
      <x:c r="L12" s="11" t="str">
        <x:v>Landing + agenda WhatsApp solo si califica</x:v>
      </x:c>
      <x:c r="M12" s="11" t="str">
        <x:v>Por definir</x:v>
      </x:c>
      <x:c r="N12" s="20" t="n">
        <x:v>6500</x:v>
      </x:c>
      <x:c r="O12" s="20" t="n">
        <x:v>12500</x:v>
      </x:c>
      <x:c r="P12" s="20" t="n">
        <x:f>IF(AND(N12&gt;0,O12&gt;0),AVERAGE(N12,O12),"")</x:f>
        <x:v>9500</x:v>
      </x:c>
      <x:c r="Q12" s="11" t="str">
        <x:v>Por definir</x:v>
      </x:c>
      <x:c r="R12" s="11" t="str">
        <x:v>Validar si realmente tiene flujo, servicios caros o presencia débil con demanda</x:v>
      </x:c>
      <x:c r="S12" s="11" t="str">
        <x:v>Sebas</x:v>
      </x:c>
      <x:c r="T12" s="11" t="str">
        <x:v>No priorizar; estética común puede no ver ROI</x:v>
      </x:c>
      <x:c r="U12" s="11" t="str">
        <x:v>Entra solo si flujo alto/ticket alto; si no, descartar</x:v>
      </x:c>
      <x:c r="V12" s="11" t="str">
        <x:v>Candidato débil por ahora</x:v>
      </x:c>
      <x:c r="W12" s="11" t="str"/>
    </x:row>
  </x:sheetData>
  <x:conditionalFormatting sqref="H2:H12">
    <x:cfRule type="expression" dxfId="0" priority="1">
      <x:formula>H2="Alta"</x:formula>
    </x:cfRule>
    <x:cfRule type="expression" dxfId="1" priority="2">
      <x:formula>H2="Media-Alta"</x:formula>
    </x:cfRule>
    <x:cfRule type="expression" dxfId="2" priority="3">
      <x:formula>H2="Media"</x:formula>
    </x:cfRule>
    <x:cfRule type="expression" dxfId="3" priority="4">
      <x:formula>H2="Baja-Media"</x:formula>
    </x:cfRule>
  </x:conditionalFormatting>
  <x:conditionalFormatting sqref="G2:G12">
    <x:cfRule type="expression" dxfId="4" priority="5">
      <x:formula>G2="Cargar ahora"</x:formula>
    </x:cfRule>
    <x:cfRule type="expression" dxfId="5" priority="6">
      <x:formula>G2="Validar antes de cargar"</x:formula>
    </x:cfRule>
    <x:cfRule type="expression" dxfId="6" priority="7">
      <x:formula>G2="En observación"</x:formula>
    </x:cfRule>
  </x:conditionalFormatting>
  <x:dataValidations count="4">
    <x:dataValidation type="list" sqref="F2:F12">
      <x:formula1>"Calificado,Calificado condicional,Condicional,Condicional débil,Portafolio / Condicional"</x:formula1>
    </x:dataValidation>
    <x:dataValidation type="list" sqref="G2:G12">
      <x:formula1>"Cargar ahora,Validar antes de cargar,En observación,No cargar"</x:formula1>
    </x:dataValidation>
    <x:dataValidation type="list" sqref="H2:H12">
      <x:formula1>"Alta,Media-Alta,Media,Baja-Media,Baja,Descartado"</x:formula1>
    </x:dataValidation>
    <x:dataValidation type="list" sqref="S2:S12">
      <x:formula1>"Kevin,Sebas,Centeno,Alberto,Kevin / Sebas,Sebas / Kevin,Centeno / Kevin,Alberto / Sebas"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35109f9f41498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6" hidden="0" customWidth="1"/>
    <x:col min="3" max="3" width="22" hidden="0" customWidth="1"/>
    <x:col min="4" max="4" width="18" hidden="0" customWidth="1"/>
    <x:col min="5" max="5" width="44" hidden="0" customWidth="1"/>
    <x:col min="6" max="6" width="44" hidden="0" customWidth="1"/>
    <x:col min="7" max="7" width="44" hidden="0" customWidth="1"/>
    <x:col min="8" max="8" width="16" hidden="0" customWidth="1"/>
    <x:col min="9" max="9" width="34" hidden="0" customWidth="1"/>
  </x:cols>
  <x:sheetData>
    <x:row r="1" ht="42" customHeight="1">
      <x:c r="A1" s="10" t="str">
        <x:v>ID</x:v>
      </x:c>
      <x:c r="B1" s="10" t="str">
        <x:v>Negocio</x:v>
      </x:c>
      <x:c r="C1" s="10" t="str">
        <x:v>Giro</x:v>
      </x:c>
      <x:c r="D1" s="10" t="str">
        <x:v>Estado</x:v>
      </x:c>
      <x:c r="E1" s="10" t="str">
        <x:v>Motivo de descarte</x:v>
      </x:c>
      <x:c r="F1" s="10" t="str">
        <x:v>Excepción para reconsiderar</x:v>
      </x:c>
      <x:c r="G1" s="10" t="str">
        <x:v>Qué revisar si alguien insiste</x:v>
      </x:c>
      <x:c r="H1" s="10" t="str">
        <x:v>Prioridad futura</x:v>
      </x:c>
      <x:c r="I1" s="10" t="str">
        <x:v>Notas</x:v>
      </x:c>
    </x:row>
    <x:row r="2" ht="42" customHeight="1">
      <x:c r="A2" s="11" t="str">
        <x:v>D-001</x:v>
      </x:c>
      <x:c r="B2" s="11" t="str">
        <x:v>Costuras Perronas</x:v>
      </x:c>
      <x:c r="C2" s="11" t="str">
        <x:v>Costuras / composturas</x:v>
      </x:c>
      <x:c r="D2" s="11" t="str">
        <x:v>No cargar CRM</x:v>
      </x:c>
      <x:c r="E2" s="11" t="str">
        <x:v>Giro de ticket bajo y flujo incierto; no justifica demo/sistema salvo volumen grande</x:v>
      </x:c>
      <x:c r="F2" s="11" t="str">
        <x:v>Solo si es taller grande con uniformes, vestidos/eventos, contratos o alto volumen</x:v>
      </x:c>
      <x:c r="G2" s="11" t="str">
        <x:v>Tamaño real, contratos, zona, precios, número de clientes, WhatsApp saturado</x:v>
      </x:c>
      <x:c r="H2" s="11" t="str">
        <x:v>Baja</x:v>
      </x:c>
      <x:c r="I2" s="11" t="str">
        <x:v>Descartado por regla nueva: costuras fuera por defecto</x:v>
      </x:c>
    </x:row>
    <x:row r="3" ht="42" customHeight="1">
      <x:c r="A3" s="11" t="str">
        <x:v>D-002</x:v>
      </x:c>
      <x:c r="B3" s="11" t="str">
        <x:v>Barbería El Olivo</x:v>
      </x:c>
      <x:c r="C3" s="11" t="str">
        <x:v>Barbería</x:v>
      </x:c>
      <x:c r="D3" s="11" t="str">
        <x:v>No cargar CRM</x:v>
      </x:c>
      <x:c r="E3" s="11" t="str">
        <x:v>Barbería común tiene ROI dudoso; normalmente WhatsApp/Maps/Instagram basta</x:v>
      </x:c>
      <x:c r="F3" s="11" t="str">
        <x:v>Solo si tiene varias sillas, flujo alto, agenda llena, zona con dinero o varias sucursales</x:v>
      </x:c>
      <x:c r="G3" s="11" t="str">
        <x:v>Número de barberos, saturación de agenda, ticket, zona, redes y falta de sistema</x:v>
      </x:c>
      <x:c r="H3" s="11" t="str">
        <x:v>Baja</x:v>
      </x:c>
      <x:c r="I3" s="11" t="str">
        <x:v>Descartado por regla nueva: barberías fuera por defecto</x:v>
      </x:c>
    </x:row>
    <x:row r="4" ht="42" customHeight="1">
      <x:c r="A4" s="11" t="str">
        <x:v>D-003</x:v>
      </x:c>
      <x:c r="B4" s="11" t="str">
        <x:v>The Arthur Barber Shop</x:v>
      </x:c>
      <x:c r="C4" s="11" t="str">
        <x:v>Barbería</x:v>
      </x:c>
      <x:c r="D4" s="11" t="str">
        <x:v>No cargar CRM</x:v>
      </x:c>
      <x:c r="E4" s="11" t="str">
        <x:v>Mismo criterio: solo imagen/agenda, ticket medio y difícil justificar precio</x:v>
      </x:c>
      <x:c r="F4" s="11" t="str">
        <x:v>Solo si es barbería grande/premium con alto flujo y presencia digital débil</x:v>
      </x:c>
      <x:c r="G4" s="11" t="str">
        <x:v>Flujo, ticket, marca, sucursales, reseñas, agenda saturada</x:v>
      </x:c>
      <x:c r="H4" s="11" t="str">
        <x:v>Baja</x:v>
      </x:c>
      <x:c r="I4" s="11" t="str">
        <x:v>No gastar energía esta semana</x:v>
      </x:c>
    </x:row>
    <x:row r="5" ht="42" customHeight="1">
      <x:c r="A5" s="11" t="str">
        <x:v>D-004</x:v>
      </x:c>
      <x:c r="B5" s="11" t="str">
        <x:v>Barber IK / Barber LK</x:v>
      </x:c>
      <x:c r="C5" s="11" t="str">
        <x:v>Barbería</x:v>
      </x:c>
      <x:c r="D5" s="11" t="str">
        <x:v>No cargar CRM</x:v>
      </x:c>
      <x:c r="E5" s="11" t="str">
        <x:v>Barbería no prioritaria salvo evidencia fuerte de tamaño y flujo</x:v>
      </x:c>
      <x:c r="F5" s="11" t="str">
        <x:v>Solo si tiene posicionamiento perfecto, clientes constantes y sin presencia digital</x:v>
      </x:c>
      <x:c r="G5" s="11" t="str">
        <x:v>Zona, número de sillas, reseñas, precios, redes, necesidad de agenda</x:v>
      </x:c>
      <x:c r="H5" s="11" t="str">
        <x:v>Baja</x:v>
      </x:c>
      <x:c r="I5" s="11" t="str">
        <x:v>No cargar al CRM nuevo</x:v>
      </x:c>
    </x:row>
  </x:sheetData>
  <x:conditionalFormatting sqref="D2:D5">
    <x:cfRule type="expression" dxfId="7" priority="1">
      <x:formula>D2="No cargar CRM"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e7b1451395a4da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86" hidden="0" customWidth="1"/>
  </x:cols>
  <x:sheetData>
    <x:row r="1" ht="42" customHeight="1">
      <x:c r="A1" s="10" t="str">
        <x:v>Regla</x:v>
      </x:c>
      <x:c r="B1" s="10" t="str">
        <x:v>Aplicación</x:v>
      </x:c>
    </x:row>
    <x:row r="2" ht="42" customHeight="1">
      <x:c r="A2" s="11" t="str">
        <x:v>Descartar costuras y barberías por defecto</x:v>
      </x:c>
      <x:c r="B2" s="11" t="str">
        <x:v>Solo entran si son grandes, flujo alto, ticket suficiente, zona con dinero y mala presencia digital.</x:v>
      </x:c>
    </x:row>
    <x:row r="3" ht="42" customHeight="1">
      <x:c r="A3" s="11" t="str">
        <x:v>Priorizar ticket alto o dolor operativo</x:v>
      </x:c>
      <x:c r="B3" s="11" t="str">
        <x:v>Dentales, clínicas, talleres, veterinarias, servicios técnicos, academias, salones de eventos, tiendas con catálogo.</x:v>
      </x:c>
    </x:row>
    <x:row r="4" ht="42" customHeight="1">
      <x:c r="A4" s="11" t="str">
        <x:v>No vender página bonita</x:v>
      </x:c>
      <x:c r="B4" s="11" t="str">
        <x:v>Vender captación, cotización, agenda, seguimiento, WhatsApp, menú QR o catálogo según el giro.</x:v>
      </x:c>
    </x:row>
    <x:row r="5" ht="42" customHeight="1">
      <x:c r="A5" s="11" t="str">
        <x:v>Pregunta filtro</x:v>
      </x:c>
      <x:c r="B5" s="11" t="str">
        <x:v>¿El negocio recupera la inversión con 1 a 5 clientes nuevos o con ahorro operativo claro?</x:v>
      </x:c>
    </x:row>
    <x:row r="6" ht="42" customHeight="1">
      <x:c r="A6" s="11" t="str">
        <x:v>Cargar al CRM</x:v>
      </x:c>
      <x:c r="B6" s="11" t="str">
        <x:v>Solo si tiene ticket, flujo, necesidad clara y canal de contacto validable.</x:v>
      </x:c>
    </x:row>
    <x:row r="7" ht="42" customHeight="1">
      <x:c r="A7" s="11" t="str">
        <x:v>Observación</x:v>
      </x:c>
      <x:c r="B7" s="11" t="str">
        <x:v>Cuando el giro puede servir, pero falta validar flujo, ticket, zona, contacto o redes.</x:v>
      </x:c>
    </x:row>
    <x:row r="8" ht="42" customHeight="1">
      <x:c r="A8" s="11" t="str">
        <x:v>No cargar</x:v>
      </x:c>
      <x:c r="B8" s="11" t="str">
        <x:v>Cuando el ticket es bajo, la zona/flujo no justifica o solo se vería más bonito sin resolver dolor real.</x:v>
      </x:c>
    </x:row>
  </x:sheetData>
  <x:pageMargins left="0.7" right="0.7" top="0.75" bottom="0.75" header="0.3" footer="0.3"/>
</x:worksheet>
</file>